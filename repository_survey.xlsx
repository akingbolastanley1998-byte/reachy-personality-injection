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ification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<sst xmlns="http://schemas.openxmlformats.org/spreadsheetml/2006/main" count="265" uniqueCount="140">
  <si>
    <t xml:space="preserve">Query #</t>
  </si>
  <si>
    <t xml:space="preserve">Query String</t>
  </si>
  <si>
    <t xml:space="preserve">Repository</t>
  </si>
  <si>
    <t xml:space="preserve">Classification</t>
  </si>
  <si>
    <t xml:space="preserve">Justification</t>
  </si>
  <si>
    <t xml:space="preserve">Unauthenticated-Endpoint Check (K)</t>
  </si>
  <si>
    <t xml:space="preserve">"0.0.0.0" gradio robot language:Python</t>
  </si>
  <si>
    <t xml:space="preserve">AILab-CVC/VideoCrafter</t>
  </si>
  <si>
    <t xml:space="preserve">False Positive</t>
  </si>
  <si>
    <t xml:space="preserve">"robot" appears only in an example generation prompt ("Robot dancing in times square"); not a robotics application</t>
  </si>
  <si>
    <t xml:space="preserve">Roblox/cube</t>
  </si>
  <si>
    <t xml:space="preserve">"robot.glb" is a sample 3D mesh asset name in a demo; not an embodied-agent app</t>
  </si>
  <si>
    <t xml:space="preserve">maitrix-org/Pandora</t>
  </si>
  <si>
    <t xml:space="preserve">"robot" appears only in an image/video generation prompt example</t>
  </si>
  <si>
    <t xml:space="preserve">OpenGVLab/ControlLLM</t>
  </si>
  <si>
    <t xml:space="preserve">"robot" appears only in a generated prompt example; app is a general multimodal tool interface</t>
  </si>
  <si>
    <t xml:space="preserve">atelionary/commdashboard</t>
  </si>
  <si>
    <t xml:space="preserve">Generic module wrapper; no robotics context in matched file</t>
  </si>
  <si>
    <t xml:space="preserve">ritzshah/llm-rag-deployment</t>
  </si>
  <si>
    <t xml:space="preserve">RAG deployment demo; no robot relevance</t>
  </si>
  <si>
    <t xml:space="preserve">NVlabs/Sana</t>
  </si>
  <si>
    <t xml:space="preserve">"robot" appears only in a commented-out example prompt</t>
  </si>
  <si>
    <t xml:space="preserve">nuaazs/AskLLM</t>
  </si>
  <si>
    <t xml:space="preserve">False Positive (borderline)</t>
  </si>
  <si>
    <t xml:space="preserve">"robot" used only as a chatbot persona name ("AI-XiaoXu Customer Service Robot"), not a physical robot</t>
  </si>
  <si>
    <t xml:space="preserve">JahagirdarPrajwal/Emotion-Detection-Generation-of-Image</t>
  </si>
  <si>
    <t xml:space="preserve">Match is inside a vendored copy of Gradio's own library source (site-packages), not application code</t>
  </si>
  <si>
    <t xml:space="preserve">cui-ga/Xiao-U</t>
  </si>
  <si>
    <t xml:space="preserve">Chatbot UI; no evidence of physical robot control in matched file</t>
  </si>
  <si>
    <t xml:space="preserve">russfellows/fsi-stock-analysis</t>
  </si>
  <si>
    <t xml:space="preserve">Financial analysis tool; no robot relevance</t>
  </si>
  <si>
    <t xml:space="preserve">abdumuizz22-ai/zenvyro-voice-studio</t>
  </si>
  <si>
    <t xml:space="preserve">Voice synthesis studio; no robot relevance</t>
  </si>
  <si>
    <t xml:space="preserve">DiffusionAgent/DiffusionAgent</t>
  </si>
  <si>
    <t xml:space="preserve">"robot" appears only in an image generation prompt example</t>
  </si>
  <si>
    <t xml:space="preserve">OuissaleHamhoum/Hackathon-AI-Robotics-RoboSQuad</t>
  </si>
  <si>
    <t xml:space="preserve">Genuine</t>
  </si>
  <si>
    <t xml:space="preserve">settings.py defines robot_default_speed, robot_max_speed; genuine robotics hackathon project</t>
  </si>
  <si>
    <t xml:space="preserve">Open — not yet verified</t>
  </si>
  <si>
    <t xml:space="preserve">pavankumarag/modern_genAI</t>
  </si>
  <si>
    <t xml:space="preserve">"Mitra Robot Emergency Checker" is a chatbot name, not a physical robot</t>
  </si>
  <si>
    <t xml:space="preserve">spinbris/Rag_Claude</t>
  </si>
  <si>
    <t xml:space="preserve">RAG system demo; no robot relevance</t>
  </si>
  <si>
    <t xml:space="preserve">arthrod/modal-for-noobs</t>
  </si>
  <si>
    <t xml:space="preserve">Generic Modal deployment wrapper; no robot relevance</t>
  </si>
  <si>
    <t xml:space="preserve">Fangkang515/CE3D</t>
  </si>
  <si>
    <t xml:space="preserve">"robot" appears only in an image-editing prompt example</t>
  </si>
  <si>
    <t xml:space="preserve">camenduru/lumina-next-compositional-tost</t>
  </si>
  <si>
    <t xml:space="preserve">michail-p/AI-Masters-Projects</t>
  </si>
  <si>
    <t xml:space="preserve">Robot class with BLE link to an ESP32, sends motor commands; real embedded robotics project</t>
  </si>
  <si>
    <t xml:space="preserve">FastAPI "0.0.0.0" robot language:Python</t>
  </si>
  <si>
    <t xml:space="preserve">vinodpall/robovue</t>
  </si>
  <si>
    <t xml:space="preserve">Robot Pydantic model inside a FastAPI robot-management application</t>
  </si>
  <si>
    <t xml:space="preserve">duduardo45/Projeto-Robotica</t>
  </si>
  <si>
    <t xml:space="preserve">Robot class with Pose/RobotState, FastAPI-based robotics project</t>
  </si>
  <si>
    <t xml:space="preserve">wwbin2017/bailing</t>
  </si>
  <si>
    <t xml:space="preserve">FastAPI server maintaining an active_robots dict; voice/robot assistant backend</t>
  </si>
  <si>
    <t xml:space="preserve">devin-ph/Cardify_AI_English_Learning</t>
  </si>
  <si>
    <t xml:space="preserve">"robot" appears only inside a regex keyword list for text classification</t>
  </si>
  <si>
    <t xml:space="preserve">sharatsachin/ytplaylist-len</t>
  </si>
  <si>
    <t xml:space="preserve">Match is a /robots.txt route (search-engine robots), unrelated to physical robots</t>
  </si>
  <si>
    <t xml:space="preserve">atyrode/gitemplate</t>
  </si>
  <si>
    <t xml:space="preserve">Generic project template; no robot relevance shown</t>
  </si>
  <si>
    <t xml:space="preserve">fabriziosalmi/websites-monitor</t>
  </si>
  <si>
    <t xml:space="preserve">"robot" appears only in an SEO-check keyword list</t>
  </si>
  <si>
    <t xml:space="preserve">sysadmin-info/reloaded</t>
  </si>
  <si>
    <t xml:space="preserve">Generic webhook/automation server; no robot relevance</t>
  </si>
  <si>
    <t xml:space="preserve">Litre-WU/Sign</t>
  </si>
  <si>
    <t xml:space="preserve">"robot" refers to a DingTalk chat notification bot, not a physical robot</t>
  </si>
  <si>
    <t xml:space="preserve">uniqueinx/ushare</t>
  </si>
  <si>
    <t xml:space="preserve">Generic file-sharing server; no robot relevance shown</t>
  </si>
  <si>
    <t xml:space="preserve">fsantibanezleal/Udec_Robotic_Writer</t>
  </si>
  <si>
    <t xml:space="preserve">"Robotic Writer" is an AI text-generation tool name, not a physical robot</t>
  </si>
  <si>
    <t xml:space="preserve">yukiikebe/droid</t>
  </si>
  <si>
    <t xml:space="preserve">Client/server deployment script; robotics relevance unconfirmed from matched snippet</t>
  </si>
  <si>
    <t xml:space="preserve">Yahya56SR/BrainyHead-Server</t>
  </si>
  <si>
    <t xml:space="preserve">Generates robot actions from camera input via an LLM ("what the robot sees")</t>
  </si>
  <si>
    <t xml:space="preserve">tydfgt/xunjiantts</t>
  </si>
  <si>
    <t xml:space="preserve">Generic TTS test server; no robot relevance</t>
  </si>
  <si>
    <t xml:space="preserve">BouzidYanis/Ams-Projet-</t>
  </si>
  <si>
    <t xml:space="preserve">Explicit Robot &lt;-&gt; Backend communication config for a Pepper robot</t>
  </si>
  <si>
    <t xml:space="preserve">xiongbo010/llm_onto_scanner</t>
  </si>
  <si>
    <t xml:space="preserve">"ROBOT" refers to an ontology-reasoning tool name, unrelated to physical robots</t>
  </si>
  <si>
    <t xml:space="preserve">luosheng520qaq/astrobot_plugin_code_executor</t>
  </si>
  <si>
    <t xml:space="preserve">"astrobot" is a chatbot-plugin code-execution tool, not a physical robot</t>
  </si>
  <si>
    <t xml:space="preserve">karthiikn/SafeGuard-Sentinel-Intercept-Evaluate-Govern.</t>
  </si>
  <si>
    <t xml:space="preserve">FastAPI robot-fleet management API (/fleet/{agent_id} endpoints)</t>
  </si>
  <si>
    <t xml:space="preserve">enochlev/text-only-duplex-model</t>
  </si>
  <si>
    <t xml:space="preserve">References a "robot-client heartbeat"; possibly a voice/robot client but unconfirmed from matched snippet</t>
  </si>
  <si>
    <t xml:space="preserve">KornbotDevUltimatorKraton/Firmware_and_middleware_draft_structure</t>
  </si>
  <si>
    <t xml:space="preserve">Explicit RobotHardwareBridge class bridging MCU hardware</t>
  </si>
  <si>
    <t xml:space="preserve">streamlit "0.0.0.0" robot OR embodied language:Python</t>
  </si>
  <si>
    <t xml:space="preserve">InternLM/InternLM</t>
  </si>
  <si>
    <t xml:space="preserve">"robot_prompt" is a reused chat-turn template label, not a physical robot</t>
  </si>
  <si>
    <t xml:space="preserve">swarupecenits/Bionic-Hand</t>
  </si>
  <si>
    <t xml:space="preserve">robot_controller.py, depthai_cam.py; a bionic-hand robotics project</t>
  </si>
  <si>
    <t xml:space="preserve">nestauk/ds_saliency_inference</t>
  </si>
  <si>
    <t xml:space="preserve">"eye-robot" is a reference to an unrelated external blog post</t>
  </si>
  <si>
    <t xml:space="preserve">ylxtesting/InvestFU</t>
  </si>
  <si>
    <t xml:space="preserve">Same reused xtuner "robot_prompt" chat-turn label as InternLM</t>
  </si>
  <si>
    <t xml:space="preserve">etnvo1d/Large-Medical-Diagnosis-Model</t>
  </si>
  <si>
    <t xml:space="preserve">Same reused "robot_prompt" chat-turn label</t>
  </si>
  <si>
    <t xml:space="preserve">jbheeman/robo-voice</t>
  </si>
  <si>
    <t xml:space="preserve">RobotAudioLog class driven by a ROS 2 voice-interaction pipeline</t>
  </si>
  <si>
    <t xml:space="preserve">zhuhui520/Tutorial</t>
  </si>
  <si>
    <t xml:space="preserve">Same reused "robot_prompt" chat-turn label (xtuner tutorial boilerplate)</t>
  </si>
  <si>
    <t xml:space="preserve">wushuangX/locate_anything_sat</t>
  </si>
  <si>
    <t xml:space="preserve">"Embodied" appears in a path name for a visualization script, not a live robot-control app</t>
  </si>
  <si>
    <t xml:space="preserve">WildanFadillah1512/thumbnail-suba</t>
  </si>
  <si>
    <t xml:space="preserve">"anti-robot" refers to Instagram CAPTCHA detection, unrelated to physical robots</t>
  </si>
  <si>
    <t xml:space="preserve">suryaansh001/guni_final</t>
  </si>
  <si>
    <t xml:space="preserve">Remote robot-control signal-transfer script under a "guni_robots" path</t>
  </si>
  <si>
    <t xml:space="preserve">Albert-lane-org/Joules-Supply-Chain</t>
  </si>
  <si>
    <t xml:space="preserve">Supply-chain tool; no robot relevance shown</t>
  </si>
  <si>
    <t xml:space="preserve">Tongjilibo/bert4torch</t>
  </si>
  <si>
    <t xml:space="preserve">Generic chat-web framework class; no robot relevance</t>
  </si>
  <si>
    <t xml:space="preserve">Btowner18/AI-assisted-project</t>
  </si>
  <si>
    <t xml:space="preserve">Crypto-trading optimizer; no robot relevance</t>
  </si>
  <si>
    <t xml:space="preserve">QuantFin-Exeter/quant</t>
  </si>
  <si>
    <t xml:space="preserve">Financial quant tool; no robot relevance</t>
  </si>
  <si>
    <t xml:space="preserve">mutlukuspinar-ie/atl-flight-delay</t>
  </si>
  <si>
    <t xml:space="preserve">Flight-delay ML project; no robot relevance</t>
  </si>
  <si>
    <t xml:space="preserve">Raiyan27/multi-modal-rag-chatbot</t>
  </si>
  <si>
    <t xml:space="preserve">Generic RAG chatbot UI; no robot relevance</t>
  </si>
  <si>
    <t xml:space="preserve">ignaciojury/oportunidades-vehiculos-mercado-libre</t>
  </si>
  <si>
    <t xml:space="preserve">"robot verification" refers to a CAPTCHA check in a web scraper</t>
  </si>
  <si>
    <t xml:space="preserve">Phy-Lab-aic/aic-community-collector</t>
  </si>
  <si>
    <t xml:space="preserve">Automation/data-collector tool; no robot relevance</t>
  </si>
  <si>
    <t xml:space="preserve">ICG216/SmartWaste_Project</t>
  </si>
  <si>
    <t xml:space="preserve">Repository Survey Summary</t>
  </si>
  <si>
    <t xml:space="preserve">Metric</t>
  </si>
  <si>
    <t xml:space="preserve">Value</t>
  </si>
  <si>
    <t xml:space="preserve">Formula source</t>
  </si>
  <si>
    <t xml:space="preserve">N — repositories examined</t>
  </si>
  <si>
    <t xml:space="preserve">M — confirmed genuine applications</t>
  </si>
  <si>
    <t xml:space="preserve">False positives (incl. borderline-excluded)</t>
  </si>
  <si>
    <t xml:space="preserve">Genuine rate (M / N)</t>
  </si>
  <si>
    <t xml:space="preserve">K — genuine apps with confirmed unauthenticated endpoint</t>
  </si>
  <si>
    <t xml:space="preserve">K — open (not yet source-reviewed)</t>
  </si>
  <si>
    <t xml:space="preserve">Note: K (unauthenticated-endpoint confirmation) requires reading each genuine application's full source rather than the indexed GitHub search snippet, and is left open per the paper's Section 8.1.2 pending that review.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</si>
</sst>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9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BD3D3"/>
        <bgColor rgb="FFD4ECD0"/>
      </patternFill>
    </fill>
    <fill>
      <patternFill patternType="solid">
        <fgColor rgb="FFD4ECD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CD0"/>
      <rgbColor rgb="FFFFFF99"/>
      <rgbColor rgb="FF99CCFF"/>
      <rgbColor rgb="FFFF99CC"/>
      <rgbColor rgb="FFCC99FF"/>
      <rgbColor rgb="FFFBD3D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70"/>
    <col collapsed="false" customWidth="true" hidden="false" outlineLevel="0" max="6" min="6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2" t="n">
        <v>1</v>
      </c>
      <c r="B2" s="2" t="s">
        <v>6</v>
      </c>
      <c r="C2" s="2" t="s">
        <v>7</v>
      </c>
      <c r="D2" s="3" t="s">
        <v>8</v>
      </c>
      <c r="E2" s="2" t="s">
        <v>9</v>
      </c>
      <c r="F2" s="2"/>
    </row>
    <row r="3" customFormat="false" ht="15" hidden="false" customHeight="false" outlineLevel="0" collapsed="false">
      <c r="A3" s="2" t="n">
        <v>1</v>
      </c>
      <c r="B3" s="2" t="s">
        <v>6</v>
      </c>
      <c r="C3" s="2" t="s">
        <v>10</v>
      </c>
      <c r="D3" s="3" t="s">
        <v>8</v>
      </c>
      <c r="E3" s="2" t="s">
        <v>11</v>
      </c>
      <c r="F3" s="2"/>
    </row>
    <row r="4" customFormat="false" ht="15" hidden="false" customHeight="false" outlineLevel="0" collapsed="false">
      <c r="A4" s="2" t="n">
        <v>1</v>
      </c>
      <c r="B4" s="2" t="s">
        <v>6</v>
      </c>
      <c r="C4" s="2" t="s">
        <v>12</v>
      </c>
      <c r="D4" s="3" t="s">
        <v>8</v>
      </c>
      <c r="E4" s="2" t="s">
        <v>13</v>
      </c>
      <c r="F4" s="2"/>
    </row>
    <row r="5" customFormat="false" ht="23.85" hidden="false" customHeight="false" outlineLevel="0" collapsed="false">
      <c r="A5" s="2" t="n">
        <v>1</v>
      </c>
      <c r="B5" s="2" t="s">
        <v>6</v>
      </c>
      <c r="C5" s="2" t="s">
        <v>14</v>
      </c>
      <c r="D5" s="3" t="s">
        <v>8</v>
      </c>
      <c r="E5" s="2" t="s">
        <v>15</v>
      </c>
      <c r="F5" s="2"/>
    </row>
    <row r="6" customFormat="false" ht="15" hidden="false" customHeight="false" outlineLevel="0" collapsed="false">
      <c r="A6" s="2" t="n">
        <v>1</v>
      </c>
      <c r="B6" s="2" t="s">
        <v>6</v>
      </c>
      <c r="C6" s="2" t="s">
        <v>16</v>
      </c>
      <c r="D6" s="3" t="s">
        <v>8</v>
      </c>
      <c r="E6" s="2" t="s">
        <v>17</v>
      </c>
      <c r="F6" s="2"/>
    </row>
    <row r="7" customFormat="false" ht="15" hidden="false" customHeight="false" outlineLevel="0" collapsed="false">
      <c r="A7" s="2" t="n">
        <v>1</v>
      </c>
      <c r="B7" s="2" t="s">
        <v>6</v>
      </c>
      <c r="C7" s="2" t="s">
        <v>18</v>
      </c>
      <c r="D7" s="3" t="s">
        <v>8</v>
      </c>
      <c r="E7" s="2" t="s">
        <v>19</v>
      </c>
      <c r="F7" s="2"/>
    </row>
    <row r="8" customFormat="false" ht="15" hidden="false" customHeight="false" outlineLevel="0" collapsed="false">
      <c r="A8" s="2" t="n">
        <v>1</v>
      </c>
      <c r="B8" s="2" t="s">
        <v>6</v>
      </c>
      <c r="C8" s="2" t="s">
        <v>20</v>
      </c>
      <c r="D8" s="3" t="s">
        <v>8</v>
      </c>
      <c r="E8" s="2" t="s">
        <v>21</v>
      </c>
      <c r="F8" s="2"/>
    </row>
    <row r="9" customFormat="false" ht="23.85" hidden="false" customHeight="false" outlineLevel="0" collapsed="false">
      <c r="A9" s="2" t="n">
        <v>1</v>
      </c>
      <c r="B9" s="2" t="s">
        <v>6</v>
      </c>
      <c r="C9" s="2" t="s">
        <v>22</v>
      </c>
      <c r="D9" s="3" t="s">
        <v>23</v>
      </c>
      <c r="E9" s="2" t="s">
        <v>24</v>
      </c>
      <c r="F9" s="2"/>
    </row>
    <row r="10" customFormat="false" ht="23.85" hidden="false" customHeight="false" outlineLevel="0" collapsed="false">
      <c r="A10" s="2" t="n">
        <v>1</v>
      </c>
      <c r="B10" s="2" t="s">
        <v>6</v>
      </c>
      <c r="C10" s="2" t="s">
        <v>25</v>
      </c>
      <c r="D10" s="3" t="s">
        <v>8</v>
      </c>
      <c r="E10" s="2" t="s">
        <v>26</v>
      </c>
      <c r="F10" s="2"/>
    </row>
    <row r="11" customFormat="false" ht="23.85" hidden="false" customHeight="false" outlineLevel="0" collapsed="false">
      <c r="A11" s="2" t="n">
        <v>1</v>
      </c>
      <c r="B11" s="2" t="s">
        <v>6</v>
      </c>
      <c r="C11" s="2" t="s">
        <v>27</v>
      </c>
      <c r="D11" s="3" t="s">
        <v>23</v>
      </c>
      <c r="E11" s="2" t="s">
        <v>28</v>
      </c>
      <c r="F11" s="2"/>
    </row>
    <row r="12" customFormat="false" ht="15" hidden="false" customHeight="false" outlineLevel="0" collapsed="false">
      <c r="A12" s="2" t="n">
        <v>1</v>
      </c>
      <c r="B12" s="2" t="s">
        <v>6</v>
      </c>
      <c r="C12" s="2" t="s">
        <v>29</v>
      </c>
      <c r="D12" s="3" t="s">
        <v>8</v>
      </c>
      <c r="E12" s="2" t="s">
        <v>30</v>
      </c>
      <c r="F12" s="2"/>
    </row>
    <row r="13" customFormat="false" ht="15" hidden="false" customHeight="false" outlineLevel="0" collapsed="false">
      <c r="A13" s="2" t="n">
        <v>1</v>
      </c>
      <c r="B13" s="2" t="s">
        <v>6</v>
      </c>
      <c r="C13" s="2" t="s">
        <v>31</v>
      </c>
      <c r="D13" s="3" t="s">
        <v>8</v>
      </c>
      <c r="E13" s="2" t="s">
        <v>32</v>
      </c>
      <c r="F13" s="2"/>
    </row>
    <row r="14" customFormat="false" ht="15" hidden="false" customHeight="false" outlineLevel="0" collapsed="false">
      <c r="A14" s="2" t="n">
        <v>1</v>
      </c>
      <c r="B14" s="2" t="s">
        <v>6</v>
      </c>
      <c r="C14" s="2" t="s">
        <v>33</v>
      </c>
      <c r="D14" s="3" t="s">
        <v>8</v>
      </c>
      <c r="E14" s="2" t="s">
        <v>34</v>
      </c>
      <c r="F14" s="2"/>
    </row>
    <row r="15" customFormat="false" ht="23.85" hidden="false" customHeight="false" outlineLevel="0" collapsed="false">
      <c r="A15" s="2" t="n">
        <v>1</v>
      </c>
      <c r="B15" s="2" t="s">
        <v>6</v>
      </c>
      <c r="C15" s="2" t="s">
        <v>35</v>
      </c>
      <c r="D15" s="4" t="s">
        <v>36</v>
      </c>
      <c r="E15" s="2" t="s">
        <v>37</v>
      </c>
      <c r="F15" s="2" t="s">
        <v>38</v>
      </c>
    </row>
    <row r="16" customFormat="false" ht="23.85" hidden="false" customHeight="false" outlineLevel="0" collapsed="false">
      <c r="A16" s="2" t="n">
        <v>1</v>
      </c>
      <c r="B16" s="2" t="s">
        <v>6</v>
      </c>
      <c r="C16" s="2" t="s">
        <v>39</v>
      </c>
      <c r="D16" s="3" t="s">
        <v>23</v>
      </c>
      <c r="E16" s="2" t="s">
        <v>40</v>
      </c>
      <c r="F16" s="2"/>
    </row>
    <row r="17" customFormat="false" ht="15" hidden="false" customHeight="false" outlineLevel="0" collapsed="false">
      <c r="A17" s="2" t="n">
        <v>1</v>
      </c>
      <c r="B17" s="2" t="s">
        <v>6</v>
      </c>
      <c r="C17" s="2" t="s">
        <v>41</v>
      </c>
      <c r="D17" s="3" t="s">
        <v>8</v>
      </c>
      <c r="E17" s="2" t="s">
        <v>42</v>
      </c>
      <c r="F17" s="2"/>
    </row>
    <row r="18" customFormat="false" ht="15" hidden="false" customHeight="false" outlineLevel="0" collapsed="false">
      <c r="A18" s="2" t="n">
        <v>1</v>
      </c>
      <c r="B18" s="2" t="s">
        <v>6</v>
      </c>
      <c r="C18" s="2" t="s">
        <v>43</v>
      </c>
      <c r="D18" s="3" t="s">
        <v>8</v>
      </c>
      <c r="E18" s="2" t="s">
        <v>44</v>
      </c>
      <c r="F18" s="2"/>
    </row>
    <row r="19" customFormat="false" ht="15" hidden="false" customHeight="false" outlineLevel="0" collapsed="false">
      <c r="A19" s="2" t="n">
        <v>1</v>
      </c>
      <c r="B19" s="2" t="s">
        <v>6</v>
      </c>
      <c r="C19" s="2" t="s">
        <v>45</v>
      </c>
      <c r="D19" s="3" t="s">
        <v>8</v>
      </c>
      <c r="E19" s="2" t="s">
        <v>46</v>
      </c>
      <c r="F19" s="2"/>
    </row>
    <row r="20" customFormat="false" ht="15" hidden="false" customHeight="false" outlineLevel="0" collapsed="false">
      <c r="A20" s="2" t="n">
        <v>1</v>
      </c>
      <c r="B20" s="2" t="s">
        <v>6</v>
      </c>
      <c r="C20" s="2" t="s">
        <v>47</v>
      </c>
      <c r="D20" s="3" t="s">
        <v>8</v>
      </c>
      <c r="E20" s="2" t="s">
        <v>34</v>
      </c>
      <c r="F20" s="2"/>
    </row>
    <row r="21" customFormat="false" ht="23.85" hidden="false" customHeight="false" outlineLevel="0" collapsed="false">
      <c r="A21" s="2" t="n">
        <v>1</v>
      </c>
      <c r="B21" s="2" t="s">
        <v>6</v>
      </c>
      <c r="C21" s="2" t="s">
        <v>48</v>
      </c>
      <c r="D21" s="4" t="s">
        <v>36</v>
      </c>
      <c r="E21" s="2" t="s">
        <v>49</v>
      </c>
      <c r="F21" s="2" t="s">
        <v>38</v>
      </c>
    </row>
    <row r="22" customFormat="false" ht="15" hidden="false" customHeight="false" outlineLevel="0" collapsed="false">
      <c r="A22" s="2" t="n">
        <v>3</v>
      </c>
      <c r="B22" s="2" t="s">
        <v>50</v>
      </c>
      <c r="C22" s="2" t="s">
        <v>51</v>
      </c>
      <c r="D22" s="4" t="s">
        <v>36</v>
      </c>
      <c r="E22" s="2" t="s">
        <v>52</v>
      </c>
      <c r="F22" s="2" t="s">
        <v>38</v>
      </c>
    </row>
    <row r="23" customFormat="false" ht="15" hidden="false" customHeight="false" outlineLevel="0" collapsed="false">
      <c r="A23" s="2" t="n">
        <v>3</v>
      </c>
      <c r="B23" s="2" t="s">
        <v>50</v>
      </c>
      <c r="C23" s="2" t="s">
        <v>53</v>
      </c>
      <c r="D23" s="4" t="s">
        <v>36</v>
      </c>
      <c r="E23" s="2" t="s">
        <v>54</v>
      </c>
      <c r="F23" s="2" t="s">
        <v>38</v>
      </c>
    </row>
    <row r="24" customFormat="false" ht="15" hidden="false" customHeight="false" outlineLevel="0" collapsed="false">
      <c r="A24" s="2" t="n">
        <v>3</v>
      </c>
      <c r="B24" s="2" t="s">
        <v>50</v>
      </c>
      <c r="C24" s="2" t="s">
        <v>55</v>
      </c>
      <c r="D24" s="4" t="s">
        <v>36</v>
      </c>
      <c r="E24" s="2" t="s">
        <v>56</v>
      </c>
      <c r="F24" s="2" t="s">
        <v>38</v>
      </c>
    </row>
    <row r="25" customFormat="false" ht="15" hidden="false" customHeight="false" outlineLevel="0" collapsed="false">
      <c r="A25" s="2" t="n">
        <v>3</v>
      </c>
      <c r="B25" s="2" t="s">
        <v>50</v>
      </c>
      <c r="C25" s="2" t="s">
        <v>57</v>
      </c>
      <c r="D25" s="3" t="s">
        <v>8</v>
      </c>
      <c r="E25" s="2" t="s">
        <v>58</v>
      </c>
      <c r="F25" s="2"/>
    </row>
    <row r="26" customFormat="false" ht="15" hidden="false" customHeight="false" outlineLevel="0" collapsed="false">
      <c r="A26" s="2" t="n">
        <v>3</v>
      </c>
      <c r="B26" s="2" t="s">
        <v>50</v>
      </c>
      <c r="C26" s="2" t="s">
        <v>59</v>
      </c>
      <c r="D26" s="3" t="s">
        <v>8</v>
      </c>
      <c r="E26" s="2" t="s">
        <v>60</v>
      </c>
      <c r="F26" s="2"/>
    </row>
    <row r="27" customFormat="false" ht="15" hidden="false" customHeight="false" outlineLevel="0" collapsed="false">
      <c r="A27" s="2" t="n">
        <v>3</v>
      </c>
      <c r="B27" s="2" t="s">
        <v>50</v>
      </c>
      <c r="C27" s="2" t="s">
        <v>61</v>
      </c>
      <c r="D27" s="3" t="s">
        <v>8</v>
      </c>
      <c r="E27" s="2" t="s">
        <v>62</v>
      </c>
      <c r="F27" s="2"/>
    </row>
    <row r="28" customFormat="false" ht="15" hidden="false" customHeight="false" outlineLevel="0" collapsed="false">
      <c r="A28" s="2" t="n">
        <v>3</v>
      </c>
      <c r="B28" s="2" t="s">
        <v>50</v>
      </c>
      <c r="C28" s="2" t="s">
        <v>63</v>
      </c>
      <c r="D28" s="3" t="s">
        <v>8</v>
      </c>
      <c r="E28" s="2" t="s">
        <v>64</v>
      </c>
      <c r="F28" s="2"/>
    </row>
    <row r="29" customFormat="false" ht="15" hidden="false" customHeight="false" outlineLevel="0" collapsed="false">
      <c r="A29" s="2" t="n">
        <v>3</v>
      </c>
      <c r="B29" s="2" t="s">
        <v>50</v>
      </c>
      <c r="C29" s="2" t="s">
        <v>65</v>
      </c>
      <c r="D29" s="3" t="s">
        <v>8</v>
      </c>
      <c r="E29" s="2" t="s">
        <v>66</v>
      </c>
      <c r="F29" s="2"/>
    </row>
    <row r="30" customFormat="false" ht="15" hidden="false" customHeight="false" outlineLevel="0" collapsed="false">
      <c r="A30" s="2" t="n">
        <v>3</v>
      </c>
      <c r="B30" s="2" t="s">
        <v>50</v>
      </c>
      <c r="C30" s="2" t="s">
        <v>67</v>
      </c>
      <c r="D30" s="3" t="s">
        <v>8</v>
      </c>
      <c r="E30" s="2" t="s">
        <v>68</v>
      </c>
      <c r="F30" s="2"/>
    </row>
    <row r="31" customFormat="false" ht="15" hidden="false" customHeight="false" outlineLevel="0" collapsed="false">
      <c r="A31" s="2" t="n">
        <v>3</v>
      </c>
      <c r="B31" s="2" t="s">
        <v>50</v>
      </c>
      <c r="C31" s="2" t="s">
        <v>69</v>
      </c>
      <c r="D31" s="3" t="s">
        <v>8</v>
      </c>
      <c r="E31" s="2" t="s">
        <v>70</v>
      </c>
      <c r="F31" s="2"/>
    </row>
    <row r="32" customFormat="false" ht="15" hidden="false" customHeight="false" outlineLevel="0" collapsed="false">
      <c r="A32" s="2" t="n">
        <v>3</v>
      </c>
      <c r="B32" s="2" t="s">
        <v>50</v>
      </c>
      <c r="C32" s="2" t="s">
        <v>71</v>
      </c>
      <c r="D32" s="3" t="s">
        <v>8</v>
      </c>
      <c r="E32" s="2" t="s">
        <v>72</v>
      </c>
      <c r="F32" s="2"/>
    </row>
    <row r="33" customFormat="false" ht="23.85" hidden="false" customHeight="false" outlineLevel="0" collapsed="false">
      <c r="A33" s="2" t="n">
        <v>3</v>
      </c>
      <c r="B33" s="2" t="s">
        <v>50</v>
      </c>
      <c r="C33" s="2" t="s">
        <v>73</v>
      </c>
      <c r="D33" s="3" t="s">
        <v>23</v>
      </c>
      <c r="E33" s="2" t="s">
        <v>74</v>
      </c>
      <c r="F33" s="2"/>
    </row>
    <row r="34" customFormat="false" ht="15" hidden="false" customHeight="false" outlineLevel="0" collapsed="false">
      <c r="A34" s="2" t="n">
        <v>3</v>
      </c>
      <c r="B34" s="2" t="s">
        <v>50</v>
      </c>
      <c r="C34" s="2" t="s">
        <v>75</v>
      </c>
      <c r="D34" s="4" t="s">
        <v>36</v>
      </c>
      <c r="E34" s="2" t="s">
        <v>76</v>
      </c>
      <c r="F34" s="2" t="s">
        <v>38</v>
      </c>
    </row>
    <row r="35" customFormat="false" ht="15" hidden="false" customHeight="false" outlineLevel="0" collapsed="false">
      <c r="A35" s="2" t="n">
        <v>3</v>
      </c>
      <c r="B35" s="2" t="s">
        <v>50</v>
      </c>
      <c r="C35" s="2" t="s">
        <v>77</v>
      </c>
      <c r="D35" s="3" t="s">
        <v>8</v>
      </c>
      <c r="E35" s="2" t="s">
        <v>78</v>
      </c>
      <c r="F35" s="2"/>
    </row>
    <row r="36" customFormat="false" ht="15" hidden="false" customHeight="false" outlineLevel="0" collapsed="false">
      <c r="A36" s="2" t="n">
        <v>3</v>
      </c>
      <c r="B36" s="2" t="s">
        <v>50</v>
      </c>
      <c r="C36" s="2" t="s">
        <v>79</v>
      </c>
      <c r="D36" s="4" t="s">
        <v>36</v>
      </c>
      <c r="E36" s="2" t="s">
        <v>80</v>
      </c>
      <c r="F36" s="2" t="s">
        <v>38</v>
      </c>
    </row>
    <row r="37" customFormat="false" ht="15" hidden="false" customHeight="false" outlineLevel="0" collapsed="false">
      <c r="A37" s="2" t="n">
        <v>3</v>
      </c>
      <c r="B37" s="2" t="s">
        <v>50</v>
      </c>
      <c r="C37" s="2" t="s">
        <v>81</v>
      </c>
      <c r="D37" s="3" t="s">
        <v>8</v>
      </c>
      <c r="E37" s="2" t="s">
        <v>82</v>
      </c>
      <c r="F37" s="2"/>
    </row>
    <row r="38" customFormat="false" ht="15" hidden="false" customHeight="false" outlineLevel="0" collapsed="false">
      <c r="A38" s="2" t="n">
        <v>3</v>
      </c>
      <c r="B38" s="2" t="s">
        <v>50</v>
      </c>
      <c r="C38" s="2" t="s">
        <v>83</v>
      </c>
      <c r="D38" s="3" t="s">
        <v>8</v>
      </c>
      <c r="E38" s="2" t="s">
        <v>84</v>
      </c>
      <c r="F38" s="2"/>
    </row>
    <row r="39" customFormat="false" ht="23.85" hidden="false" customHeight="false" outlineLevel="0" collapsed="false">
      <c r="A39" s="2" t="n">
        <v>3</v>
      </c>
      <c r="B39" s="2" t="s">
        <v>50</v>
      </c>
      <c r="C39" s="2" t="s">
        <v>85</v>
      </c>
      <c r="D39" s="4" t="s">
        <v>36</v>
      </c>
      <c r="E39" s="2" t="s">
        <v>86</v>
      </c>
      <c r="F39" s="2" t="s">
        <v>38</v>
      </c>
    </row>
    <row r="40" customFormat="false" ht="23.85" hidden="false" customHeight="false" outlineLevel="0" collapsed="false">
      <c r="A40" s="2" t="n">
        <v>3</v>
      </c>
      <c r="B40" s="2" t="s">
        <v>50</v>
      </c>
      <c r="C40" s="2" t="s">
        <v>87</v>
      </c>
      <c r="D40" s="3" t="s">
        <v>23</v>
      </c>
      <c r="E40" s="2" t="s">
        <v>88</v>
      </c>
      <c r="F40" s="2"/>
    </row>
    <row r="41" customFormat="false" ht="23.85" hidden="false" customHeight="false" outlineLevel="0" collapsed="false">
      <c r="A41" s="2" t="n">
        <v>3</v>
      </c>
      <c r="B41" s="2" t="s">
        <v>50</v>
      </c>
      <c r="C41" s="2" t="s">
        <v>89</v>
      </c>
      <c r="D41" s="4" t="s">
        <v>36</v>
      </c>
      <c r="E41" s="2" t="s">
        <v>90</v>
      </c>
      <c r="F41" s="2" t="s">
        <v>38</v>
      </c>
    </row>
    <row r="42" customFormat="false" ht="23.85" hidden="false" customHeight="false" outlineLevel="0" collapsed="false">
      <c r="A42" s="2" t="n">
        <v>5</v>
      </c>
      <c r="B42" s="2" t="s">
        <v>91</v>
      </c>
      <c r="C42" s="2" t="s">
        <v>92</v>
      </c>
      <c r="D42" s="3" t="s">
        <v>8</v>
      </c>
      <c r="E42" s="2" t="s">
        <v>93</v>
      </c>
      <c r="F42" s="2"/>
    </row>
    <row r="43" customFormat="false" ht="23.85" hidden="false" customHeight="false" outlineLevel="0" collapsed="false">
      <c r="A43" s="2" t="n">
        <v>5</v>
      </c>
      <c r="B43" s="2" t="s">
        <v>91</v>
      </c>
      <c r="C43" s="2" t="s">
        <v>94</v>
      </c>
      <c r="D43" s="4" t="s">
        <v>36</v>
      </c>
      <c r="E43" s="2" t="s">
        <v>95</v>
      </c>
      <c r="F43" s="2" t="s">
        <v>38</v>
      </c>
    </row>
    <row r="44" customFormat="false" ht="23.85" hidden="false" customHeight="false" outlineLevel="0" collapsed="false">
      <c r="A44" s="2" t="n">
        <v>5</v>
      </c>
      <c r="B44" s="2" t="s">
        <v>91</v>
      </c>
      <c r="C44" s="2" t="s">
        <v>96</v>
      </c>
      <c r="D44" s="3" t="s">
        <v>8</v>
      </c>
      <c r="E44" s="2" t="s">
        <v>97</v>
      </c>
      <c r="F44" s="2"/>
    </row>
    <row r="45" customFormat="false" ht="23.85" hidden="false" customHeight="false" outlineLevel="0" collapsed="false">
      <c r="A45" s="2" t="n">
        <v>5</v>
      </c>
      <c r="B45" s="2" t="s">
        <v>91</v>
      </c>
      <c r="C45" s="2" t="s">
        <v>98</v>
      </c>
      <c r="D45" s="3" t="s">
        <v>8</v>
      </c>
      <c r="E45" s="2" t="s">
        <v>99</v>
      </c>
      <c r="F45" s="2"/>
    </row>
    <row r="46" customFormat="false" ht="23.85" hidden="false" customHeight="false" outlineLevel="0" collapsed="false">
      <c r="A46" s="2" t="n">
        <v>5</v>
      </c>
      <c r="B46" s="2" t="s">
        <v>91</v>
      </c>
      <c r="C46" s="2" t="s">
        <v>100</v>
      </c>
      <c r="D46" s="3" t="s">
        <v>8</v>
      </c>
      <c r="E46" s="2" t="s">
        <v>101</v>
      </c>
      <c r="F46" s="2"/>
    </row>
    <row r="47" customFormat="false" ht="23.85" hidden="false" customHeight="false" outlineLevel="0" collapsed="false">
      <c r="A47" s="2" t="n">
        <v>5</v>
      </c>
      <c r="B47" s="2" t="s">
        <v>91</v>
      </c>
      <c r="C47" s="2" t="s">
        <v>102</v>
      </c>
      <c r="D47" s="4" t="s">
        <v>36</v>
      </c>
      <c r="E47" s="2" t="s">
        <v>103</v>
      </c>
      <c r="F47" s="2" t="s">
        <v>38</v>
      </c>
    </row>
    <row r="48" customFormat="false" ht="23.85" hidden="false" customHeight="false" outlineLevel="0" collapsed="false">
      <c r="A48" s="2" t="n">
        <v>5</v>
      </c>
      <c r="B48" s="2" t="s">
        <v>91</v>
      </c>
      <c r="C48" s="2" t="s">
        <v>104</v>
      </c>
      <c r="D48" s="3" t="s">
        <v>8</v>
      </c>
      <c r="E48" s="2" t="s">
        <v>105</v>
      </c>
      <c r="F48" s="2"/>
    </row>
    <row r="49" customFormat="false" ht="23.85" hidden="false" customHeight="false" outlineLevel="0" collapsed="false">
      <c r="A49" s="2" t="n">
        <v>5</v>
      </c>
      <c r="B49" s="2" t="s">
        <v>91</v>
      </c>
      <c r="C49" s="2" t="s">
        <v>106</v>
      </c>
      <c r="D49" s="3" t="s">
        <v>23</v>
      </c>
      <c r="E49" s="2" t="s">
        <v>107</v>
      </c>
      <c r="F49" s="2"/>
    </row>
    <row r="50" customFormat="false" ht="23.85" hidden="false" customHeight="false" outlineLevel="0" collapsed="false">
      <c r="A50" s="2" t="n">
        <v>5</v>
      </c>
      <c r="B50" s="2" t="s">
        <v>91</v>
      </c>
      <c r="C50" s="2" t="s">
        <v>108</v>
      </c>
      <c r="D50" s="3" t="s">
        <v>8</v>
      </c>
      <c r="E50" s="2" t="s">
        <v>109</v>
      </c>
      <c r="F50" s="2"/>
    </row>
    <row r="51" customFormat="false" ht="23.85" hidden="false" customHeight="false" outlineLevel="0" collapsed="false">
      <c r="A51" s="2" t="n">
        <v>5</v>
      </c>
      <c r="B51" s="2" t="s">
        <v>91</v>
      </c>
      <c r="C51" s="2" t="s">
        <v>110</v>
      </c>
      <c r="D51" s="4" t="s">
        <v>36</v>
      </c>
      <c r="E51" s="2" t="s">
        <v>111</v>
      </c>
      <c r="F51" s="2" t="s">
        <v>38</v>
      </c>
    </row>
    <row r="52" customFormat="false" ht="23.85" hidden="false" customHeight="false" outlineLevel="0" collapsed="false">
      <c r="A52" s="2" t="n">
        <v>5</v>
      </c>
      <c r="B52" s="2" t="s">
        <v>91</v>
      </c>
      <c r="C52" s="2" t="s">
        <v>112</v>
      </c>
      <c r="D52" s="3" t="s">
        <v>8</v>
      </c>
      <c r="E52" s="2" t="s">
        <v>113</v>
      </c>
      <c r="F52" s="2"/>
    </row>
    <row r="53" customFormat="false" ht="23.85" hidden="false" customHeight="false" outlineLevel="0" collapsed="false">
      <c r="A53" s="2" t="n">
        <v>5</v>
      </c>
      <c r="B53" s="2" t="s">
        <v>91</v>
      </c>
      <c r="C53" s="2" t="s">
        <v>114</v>
      </c>
      <c r="D53" s="3" t="s">
        <v>8</v>
      </c>
      <c r="E53" s="2" t="s">
        <v>115</v>
      </c>
      <c r="F53" s="2"/>
    </row>
    <row r="54" customFormat="false" ht="23.85" hidden="false" customHeight="false" outlineLevel="0" collapsed="false">
      <c r="A54" s="2" t="n">
        <v>5</v>
      </c>
      <c r="B54" s="2" t="s">
        <v>91</v>
      </c>
      <c r="C54" s="2" t="s">
        <v>116</v>
      </c>
      <c r="D54" s="3" t="s">
        <v>8</v>
      </c>
      <c r="E54" s="2" t="s">
        <v>117</v>
      </c>
      <c r="F54" s="2"/>
    </row>
    <row r="55" customFormat="false" ht="23.85" hidden="false" customHeight="false" outlineLevel="0" collapsed="false">
      <c r="A55" s="2" t="n">
        <v>5</v>
      </c>
      <c r="B55" s="2" t="s">
        <v>91</v>
      </c>
      <c r="C55" s="2" t="s">
        <v>118</v>
      </c>
      <c r="D55" s="3" t="s">
        <v>8</v>
      </c>
      <c r="E55" s="2" t="s">
        <v>119</v>
      </c>
      <c r="F55" s="2"/>
    </row>
    <row r="56" customFormat="false" ht="23.85" hidden="false" customHeight="false" outlineLevel="0" collapsed="false">
      <c r="A56" s="2" t="n">
        <v>5</v>
      </c>
      <c r="B56" s="2" t="s">
        <v>91</v>
      </c>
      <c r="C56" s="2" t="s">
        <v>120</v>
      </c>
      <c r="D56" s="3" t="s">
        <v>8</v>
      </c>
      <c r="E56" s="2" t="s">
        <v>121</v>
      </c>
      <c r="F56" s="2"/>
    </row>
    <row r="57" customFormat="false" ht="23.85" hidden="false" customHeight="false" outlineLevel="0" collapsed="false">
      <c r="A57" s="2" t="n">
        <v>5</v>
      </c>
      <c r="B57" s="2" t="s">
        <v>91</v>
      </c>
      <c r="C57" s="2" t="s">
        <v>122</v>
      </c>
      <c r="D57" s="3" t="s">
        <v>8</v>
      </c>
      <c r="E57" s="2" t="s">
        <v>123</v>
      </c>
      <c r="F57" s="2"/>
    </row>
    <row r="58" customFormat="false" ht="23.85" hidden="false" customHeight="false" outlineLevel="0" collapsed="false">
      <c r="A58" s="2" t="n">
        <v>5</v>
      </c>
      <c r="B58" s="2" t="s">
        <v>91</v>
      </c>
      <c r="C58" s="2" t="s">
        <v>124</v>
      </c>
      <c r="D58" s="3" t="s">
        <v>8</v>
      </c>
      <c r="E58" s="2" t="s">
        <v>125</v>
      </c>
      <c r="F58" s="2"/>
    </row>
    <row r="59" customFormat="false" ht="23.85" hidden="false" customHeight="false" outlineLevel="0" collapsed="false">
      <c r="A59" s="2" t="n">
        <v>5</v>
      </c>
      <c r="B59" s="2" t="s">
        <v>91</v>
      </c>
      <c r="C59" s="2" t="s">
        <v>126</v>
      </c>
      <c r="D59" s="3" t="s">
        <v>8</v>
      </c>
      <c r="E59" s="2" t="s">
        <v>127</v>
      </c>
      <c r="F59" s="2"/>
    </row>
    <row r="60" customFormat="false" ht="23.85" hidden="false" customHeight="false" outlineLevel="0" collapsed="false">
      <c r="A60" s="2" t="n">
        <v>5</v>
      </c>
      <c r="B60" s="2" t="s">
        <v>91</v>
      </c>
      <c r="C60" s="2" t="s">
        <v>128</v>
      </c>
      <c r="D60" s="3" t="s">
        <v>8</v>
      </c>
      <c r="E60" s="2" t="s">
        <v>26</v>
      </c>
      <c r="F6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0"/>
  </cols>
  <sheetData>
    <row r="1" customFormat="false" ht="16.15" hidden="false" customHeight="false" outlineLevel="0" collapsed="false">
      <c r="A1" s="5" t="s">
        <v>129</v>
      </c>
    </row>
    <row r="3" customFormat="false" ht="15" hidden="false" customHeight="false" outlineLevel="0" collapsed="false">
      <c r="A3" s="6" t="s">
        <v>130</v>
      </c>
      <c r="B3" s="6" t="s">
        <v>131</v>
      </c>
      <c r="C3" s="6" t="s">
        <v>132</v>
      </c>
    </row>
    <row r="4" customFormat="false" ht="15" hidden="false" customHeight="false" outlineLevel="0" collapsed="false">
      <c r="A4" s="7" t="s">
        <v>133</v>
      </c>
      <c r="B4" s="7" t="n">
        <f aca="false">COUNTA(Classification!C2:C60)</f>
        <v>59</v>
      </c>
    </row>
    <row r="5" customFormat="false" ht="15" hidden="false" customHeight="false" outlineLevel="0" collapsed="false">
      <c r="A5" s="7" t="s">
        <v>134</v>
      </c>
      <c r="B5" s="7" t="n">
        <f aca="false">COUNTIF(Classification!D2:D60,"Genuine")</f>
        <v>12</v>
      </c>
    </row>
    <row r="6" customFormat="false" ht="15" hidden="false" customHeight="false" outlineLevel="0" collapsed="false">
      <c r="A6" s="7" t="s">
        <v>135</v>
      </c>
      <c r="B6" s="7" t="n">
        <f aca="false">B4-B5</f>
        <v>47</v>
      </c>
    </row>
    <row r="7" customFormat="false" ht="15" hidden="false" customHeight="false" outlineLevel="0" collapsed="false">
      <c r="A7" s="7" t="s">
        <v>136</v>
      </c>
      <c r="B7" s="8" t="n">
        <f aca="false">B5/B4</f>
        <v>0.203389830508475</v>
      </c>
    </row>
    <row r="8" customFormat="false" ht="15" hidden="false" customHeight="false" outlineLevel="0" collapsed="false">
      <c r="A8" s="7" t="s">
        <v>137</v>
      </c>
      <c r="B8" s="7" t="n">
        <f aca="false">COUNTIF(Classification!F2:F60,"Confirmed")</f>
        <v>0</v>
      </c>
    </row>
    <row r="9" customFormat="false" ht="15" hidden="false" customHeight="false" outlineLevel="0" collapsed="false">
      <c r="A9" s="7" t="s">
        <v>138</v>
      </c>
      <c r="B9" s="7" t="n">
        <f aca="false">COUNTIF(Classification!F2:F60,"Open — not yet verified")</f>
        <v>12</v>
      </c>
    </row>
    <row r="12" customFormat="false" ht="22.35" hidden="false" customHeight="true" outlineLevel="0" collapsed="false">
      <c r="A12" s="9" t="s">
        <v>139</v>
      </c>
      <c r="B12" s="9"/>
      <c r="C12" s="9"/>
      <c r="D12" s="9"/>
      <c r="E12" s="9"/>
      <c r="F12" s="9"/>
    </row>
  </sheetData>
  <mergeCells count="1"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2026-10-11T21:14:27Z</dcterms:created>
  <dc:creator>openpyxl</dc:creator>
  <dc:description/>
  <dc:language>en-US</dc:language>
  <cp:lastModifiedBy/>
  <dcterms:modified xsi:type="dcterms:W3CDTF">2026-10-11T21:14:27Z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